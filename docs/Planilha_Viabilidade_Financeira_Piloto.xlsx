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b9d9045544f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çamento" sheetId="1" r:id="Rf292037d75dd44ed"/>
    <x:sheet xmlns:r="http://schemas.openxmlformats.org/officeDocument/2006/relationships" name="Cenários" sheetId="2" r:id="R1ee006e73db245a6"/>
    <x:sheet xmlns:r="http://schemas.openxmlformats.org/officeDocument/2006/relationships" name="Indicadores" sheetId="3" r:id="Rd5edf931193749a0"/>
    <x:sheet xmlns:r="http://schemas.openxmlformats.org/officeDocument/2006/relationships" name="Notas" sheetId="4" r:id="R377accaa4cd4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.00;[Red](R$ #,##0.00);-"/>
    <x:numFmt numFmtId="201" formatCode="0.0%"/>
    <x:numFmt numFmtId="202" formatCode="0%"/>
    <x:numFmt numFmtId="203" formatCode="#,##0;[Red](#,##0);-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65F46"/>
      <x:name val="Carlito"/>
    </x:font>
    <x:font>
      <x:b/>
      <x:sz val="11"/>
      <x:color rgb="FFFFFFFF"/>
      <x:name val="Carlito"/>
    </x:font>
    <x:font>
      <x:b/>
      <x:sz val="11"/>
      <x:color rgb="FF064E3B"/>
      <x:name val="Carlito"/>
    </x:font>
    <x:font>
      <x:b/>
      <x:sz val="11"/>
      <x:color rgb="FF92400E"/>
      <x:name val="Carlito"/>
    </x:font>
    <x:font>
      <x:sz val="11"/>
      <x:color rgb="FF0000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ECFDF5"/>
      </x:patternFill>
    </x:fill>
    <x:fill>
      <x:patternFill patternType="solid">
        <x:fgColor rgb="FF047857"/>
      </x:patternFill>
    </x:fill>
    <x:fill>
      <x:patternFill patternType="solid">
        <x:fgColor rgb="FFF0FDF4"/>
      </x:patternFill>
    </x:fill>
    <x:fill>
      <x:patternFill patternType="solid">
        <x:fgColor rgb="FFFEF3C7"/>
      </x:patternFill>
    </x:fill>
    <x:fill>
      <x:patternFill patternType="solid">
        <x:fgColor rgb="FFFFFDE7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200" fontId="6" fillId="7" borderId="0" xfId="0" applyNumberFormat="1" applyFont="1" applyFill="1" applyBorder="1"/>
    <x:xf numFmtId="200" fontId="0" fillId="0" borderId="0" xfId="0" applyNumberFormat="1" applyFont="1" applyFill="1" applyBorder="1"/>
    <x:xf numFmtId="200" fontId="4" fillId="5" borderId="0" xfId="0" applyNumberFormat="1" applyFont="1" applyFill="1" applyBorder="1"/>
    <x:xf numFmtId="200" fontId="5" fillId="6" borderId="0" xfId="0" applyNumberFormat="1" applyFont="1" applyFill="1" applyBorder="1"/>
    <x:xf numFmtId="200" fontId="6" fillId="7" borderId="1" xfId="0" applyNumberFormat="1" applyFont="1" applyFill="1" applyBorder="1"/>
    <x:xf numFmtId="200" fontId="0" fillId="0" borderId="1" xfId="0" applyNumberFormat="1" applyFont="1" applyFill="1" applyBorder="1"/>
    <x:xf numFmtId="200" fontId="4" fillId="5" borderId="1" xfId="0" applyNumberFormat="1" applyFont="1" applyFill="1" applyBorder="1"/>
    <x:xf numFmtId="200" fontId="5" fillId="6" borderId="1" xfId="0" applyNumberFormat="1" applyFont="1" applyFill="1" applyBorder="1"/>
    <x:xf numFmtId="201" fontId="6" fillId="7" borderId="0" xfId="0" applyNumberFormat="1" applyFont="1" applyFill="1" applyBorder="1"/>
    <x:xf numFmtId="201" fontId="6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201" fontId="6" fillId="7" borderId="0" xfId="0" applyNumberFormat="1" applyFont="1" applyFill="1" applyBorder="1" applyAlignment="1">
      <x:alignment wrapText="1"/>
    </x:xf>
    <x:xf numFmtId="200" fontId="6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200" fontId="5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201" fontId="6" fillId="7" borderId="1" xfId="0" applyNumberFormat="1" applyFont="1" applyFill="1" applyBorder="1" applyAlignment="1">
      <x:alignment wrapText="1"/>
    </x:xf>
    <x:xf numFmtId="200" fontId="6" fillId="7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200" fontId="5" fillId="6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abb799083457c" /><Relationship Type="http://schemas.openxmlformats.org/officeDocument/2006/relationships/theme" Target="/xl/theme/theme1.xml" Id="Rb63a5a66ebbf4480" /><Relationship Type="http://schemas.openxmlformats.org/officeDocument/2006/relationships/sharedStrings" Target="/xl/sharedStrings.xml" Id="Ra174924904c24c41" /><Relationship Type="http://schemas.openxmlformats.org/officeDocument/2006/relationships/worksheet" Target="/xl/worksheets/sheet1.xml" Id="Rf292037d75dd44ed" /><Relationship Type="http://schemas.openxmlformats.org/officeDocument/2006/relationships/worksheet" Target="/xl/worksheets/sheet2.xml" Id="R1ee006e73db245a6" /><Relationship Type="http://schemas.openxmlformats.org/officeDocument/2006/relationships/worksheet" Target="/xl/worksheets/sheet3.xml" Id="Rd5edf931193749a0" /><Relationship Type="http://schemas.openxmlformats.org/officeDocument/2006/relationships/worksheet" Target="/xl/worksheets/sheet4.xml" Id="R377accaa4cd445a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d45ccecb9141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Necessidade de caixa por cobertura de doações</a:t>
            </a:r>
          </a:p>
        </c:rich>
      </c:tx>
    </c:title>
    <c:plotArea>
      <c:lineChart>
        <c:grouping val="standard"/>
        <c:ser>
          <c:idx val="0"/>
          <c:order val="0"/>
          <c:tx>
            <c:v>Cobertura por doações</c:v>
          </c:tx>
          <c:marker>
            <c:symbol val="none"/>
          </c:marker>
          <c:cat>
            <c:strRef>
              <c:f>'Cenários'!$A$5:$A$9</c:f>
              <c:strCache>
                <c:ptCount val="0"/>
              </c:strCache>
            </c:strRef>
          </c:cat>
          <c:val>
            <c:numRef>
              <c:f>'Cenários'!$B$5:$B$9</c:f>
              <c:numCache>
                <c:formatCode>0%</c:formatCode>
                <c:ptCount val="0"/>
              </c:numCache>
            </c:numRef>
          </c:val>
        </c:ser>
        <c:ser>
          <c:idx val="1"/>
          <c:order val="1"/>
          <c:tx>
            <c:v>Custo bruto validado (R$)</c:v>
          </c:tx>
          <c:marker>
            <c:symbol val="none"/>
          </c:marker>
          <c:cat>
            <c:strRef>
              <c:f>'Cenários'!$A$5:$A$9</c:f>
              <c:strCache>
                <c:ptCount val="0"/>
              </c:strCache>
            </c:strRef>
          </c:cat>
          <c:val>
            <c:numRef>
              <c:f>'Cenários'!$C$5:$C$9</c:f>
              <c:numCache>
                <c:formatCode>R$ #,##0.00;[Red](R$ #,##0.00);-</c:formatCode>
                <c:ptCount val="0"/>
              </c:numCache>
            </c:numRef>
          </c:val>
        </c:ser>
        <c:ser>
          <c:idx val="2"/>
          <c:order val="2"/>
          <c:tx>
            <c:v>Necessidade de caixa (R$)</c:v>
          </c:tx>
          <c:marker>
            <c:symbol val="none"/>
          </c:marker>
          <c:cat>
            <c:strRef>
              <c:f>'Cenários'!$A$5:$A$9</c:f>
              <c:strCache>
                <c:ptCount val="0"/>
              </c:strCache>
            </c:strRef>
          </c:cat>
          <c:val>
            <c:numRef>
              <c:f>'Cenários'!$D$5:$D$9</c:f>
              <c:numCache>
                <c:formatCode>R$ #,##0.00;[Red](R$ #,##0.00);-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d45ccecb91410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camentoItens" displayName="OrcamentoItens" ref="A10:L20" headerRowCount="1" totalsRowCount="0" totalsRowShown="0">
  <x:tableColumns count="12">
    <x:tableColumn id="1" name="Categoria"/>
    <x:tableColumn id="2" name="Item"/>
    <x:tableColumn id="3" name="Unidade"/>
    <x:tableColumn id="4" name="Qtd./casinha"/>
    <x:tableColumn id="5" name="Qtd. piloto"/>
    <x:tableColumn id="6" name="Custo unitário validado (R$)"/>
    <x:tableColumn id="7" name="Custo bruto (R$)"/>
    <x:tableColumn id="8" name="Qtd. doada confirmada"/>
    <x:tableColumn id="9" name="Economia por doação (R$)"/>
    <x:tableColumn id="10" name="Custo líquido (R$)"/>
    <x:tableColumn id="11" name="Fonte / comprovante"/>
    <x:tableColumn id="12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dicadoresPiloto" displayName="IndicadoresPiloto" ref="A4:F12" headerRowCount="1" totalsRowCount="0" totalsRowShown="0">
  <x:tableColumns count="6">
    <x:tableColumn id="1" name="Indicador"/>
    <x:tableColumn id="2" name="Valor real atual"/>
    <x:tableColumn id="3" name="Unidade"/>
    <x:tableColumn id="4" name="Regra de evidência"/>
    <x:tableColumn id="5" name="Fonte da linha de base"/>
    <x:tableColumn id="6" name="Data-b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rasPlanilha" displayName="RegrasPlanilha" ref="A3:B10" headerRowCount="1" totalsRowCount="0" totalsRowShown="0">
  <x:tableColumns count="2">
    <x:tableColumn id="1" name="Regra"/>
    <x:tableColumn id="2" name="Aplic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3d34a5fb054a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6048ef880194d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f1b0c0b0894d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88a7a5f54d461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2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  <x:col min="8" max="8" width="17" hidden="0" customWidth="1"/>
    <x:col min="9" max="9" width="20" hidden="0" customWidth="1"/>
    <x:col min="10" max="10" width="20" hidden="0" customWidth="1"/>
    <x:col min="11" max="11" width="28" hidden="0" customWidth="1"/>
    <x:col min="12" max="12" width="14" hidden="0" customWidth="1"/>
  </x:cols>
  <x:sheetData>
    <x:row r="1" ht="28" customHeight="1">
      <x:c r="A1" s="48" t="str">
        <x:v>Padrinhos de Rua - Modelo de viabilidade financeira do piloto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</x:row>
    <x:row r="2" ht="24" customHeight="1">
      <x:c r="A2" s="49" t="str">
        <x:v>Modelo acadêmico editável | nenhum valor monetário foi presumido como custo real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</x:row>
    <x:row r="4">
      <x:c r="A4" s="20" t="str">
        <x:v>Parâmetro</x:v>
      </x:c>
      <x:c r="B4" s="20" t="str">
        <x:v>Valor</x:v>
      </x:c>
      <x:c r="C4" s="20" t="str">
        <x:v>Origem / regra</x:v>
      </x:c>
      <x:c r="D4" s="20" t="str">
        <x:v>Observação</x:v>
      </x:c>
      <x:c r="E4" s="50"/>
      <x:c r="F4" s="50"/>
      <x:c r="G4" s="50"/>
      <x:c r="H4" s="50"/>
      <x:c r="I4" s="50"/>
      <x:c r="J4" s="50"/>
      <x:c r="K4" s="50"/>
      <x:c r="L4" s="50"/>
    </x:row>
    <x:row r="5">
      <x:c r="A5" s="50" t="str">
        <x:v>Meta máxima de casinhas</x:v>
      </x:c>
      <x:c r="B5" s="51" t="n">
        <x:v>10</x:v>
      </x:c>
      <x:c r="C5" s="50" t="str">
        <x:v>Escopo do piloto</x:v>
      </x:c>
      <x:c r="D5" s="50" t="str">
        <x:v>Limite máximo, não obrigação de execução</x:v>
      </x:c>
      <x:c r="E5" s="50"/>
      <x:c r="F5" s="50"/>
      <x:c r="G5" s="50"/>
      <x:c r="H5" s="50"/>
      <x:c r="I5" s="50"/>
      <x:c r="J5" s="50"/>
      <x:c r="K5" s="50"/>
      <x:c r="L5" s="50"/>
    </x:row>
    <x:row r="6">
      <x:c r="A6" s="50" t="str">
        <x:v>Casinhas instaladas atualmente</x:v>
      </x:c>
      <x:c r="B6" s="51" t="n">
        <x:v>0</x:v>
      </x:c>
      <x:c r="C6" s="50" t="str">
        <x:v>Situação atual informada</x:v>
      </x:c>
      <x:c r="D6" s="50" t="str">
        <x:v>Não confundir planejamento com implantação</x:v>
      </x:c>
      <x:c r="E6" s="50"/>
      <x:c r="F6" s="50"/>
      <x:c r="G6" s="50"/>
      <x:c r="H6" s="50"/>
      <x:c r="I6" s="50"/>
      <x:c r="J6" s="50"/>
      <x:c r="K6" s="50"/>
      <x:c r="L6" s="50"/>
    </x:row>
    <x:row r="7">
      <x:c r="A7" s="50" t="str">
        <x:v>Reserva de contingência (%)</x:v>
      </x:c>
      <x:c r="B7" s="52" t="n">
        <x:v>0</x:v>
      </x:c>
      <x:c r="C7" s="50" t="str">
        <x:v>A definir após orçamento</x:v>
      </x:c>
      <x:c r="D7" s="50" t="str">
        <x:v>Input editável; permanece 0 até decisão documentada</x:v>
      </x:c>
      <x:c r="E7" s="50"/>
      <x:c r="F7" s="50"/>
      <x:c r="G7" s="50"/>
      <x:c r="H7" s="50"/>
      <x:c r="I7" s="50"/>
      <x:c r="J7" s="50"/>
      <x:c r="K7" s="50"/>
      <x:c r="L7" s="50"/>
    </x:row>
    <x:row r="8">
      <x:c r="A8" s="50" t="str">
        <x:v>Data-base do modelo</x:v>
      </x:c>
      <x:c r="B8" s="50" t="str">
        <x:v>21/09/2026</x:v>
      </x:c>
      <x:c r="C8" s="50" t="str">
        <x:v>Revisão local</x:v>
      </x:c>
      <x:c r="D8" s="50" t="str">
        <x:v>Atualizar quando houver cotações/comprovantes</x:v>
      </x:c>
      <x:c r="E8" s="50"/>
      <x:c r="F8" s="50"/>
      <x:c r="G8" s="50"/>
      <x:c r="H8" s="50"/>
      <x:c r="I8" s="50"/>
      <x:c r="J8" s="50"/>
      <x:c r="K8" s="50"/>
      <x:c r="L8" s="50"/>
    </x:row>
    <x:row r="9">
      <x:c r="A9" s="50"/>
      <x:c r="B9" s="50"/>
      <x:c r="C9" s="50"/>
      <x:c r="D9" s="50"/>
      <x:c r="E9" s="50"/>
      <x:c r="F9" s="50"/>
      <x:c r="G9" s="50"/>
      <x:c r="H9" s="50"/>
      <x:c r="I9" s="50"/>
      <x:c r="J9" s="50"/>
      <x:c r="K9" s="50"/>
      <x:c r="L9" s="50"/>
    </x:row>
    <x:row r="10" ht="38" customHeight="1">
      <x:c r="A10" s="20" t="str">
        <x:v>Categoria</x:v>
      </x:c>
      <x:c r="B10" s="20" t="str">
        <x:v>Item</x:v>
      </x:c>
      <x:c r="C10" s="20" t="str">
        <x:v>Unidade</x:v>
      </x:c>
      <x:c r="D10" s="20" t="str">
        <x:v>Qtd./casinha</x:v>
      </x:c>
      <x:c r="E10" s="20" t="str">
        <x:v>Qtd. piloto</x:v>
      </x:c>
      <x:c r="F10" s="20" t="str">
        <x:v>Custo unitário validado (R$)</x:v>
      </x:c>
      <x:c r="G10" s="20" t="str">
        <x:v>Custo bruto (R$)</x:v>
      </x:c>
      <x:c r="H10" s="20" t="str">
        <x:v>Qtd. doada confirmada</x:v>
      </x:c>
      <x:c r="I10" s="20" t="str">
        <x:v>Economia por doação (R$)</x:v>
      </x:c>
      <x:c r="J10" s="20" t="str">
        <x:v>Custo líquido (R$)</x:v>
      </x:c>
      <x:c r="K10" s="20" t="str">
        <x:v>Fonte / comprovante</x:v>
      </x:c>
      <x:c r="L10" s="20" t="str">
        <x:v>Status</x:v>
      </x:c>
    </x:row>
    <x:row r="11">
      <x:c r="A11" s="50" t="str">
        <x:v>Estrutura</x:v>
      </x:c>
      <x:c r="B11" s="50" t="str">
        <x:v>Madeira reaproveitada / pallet</x:v>
      </x:c>
      <x:c r="C11" s="50" t="str">
        <x:v>kit</x:v>
      </x:c>
      <x:c r="D11" s="50" t="n">
        <x:v>1</x:v>
      </x:c>
      <x:c r="E11" s="50" t="n">
        <x:f>D11*$B$5</x:f>
        <x:v>10</x:v>
      </x:c>
      <x:c r="F11" s="53" t="n">
        <x:v>0</x:v>
      </x:c>
      <x:c r="G11" s="54" t="n">
        <x:f>E11*F11</x:f>
        <x:v>0</x:v>
      </x:c>
      <x:c r="H11" s="53" t="n">
        <x:v>0</x:v>
      </x:c>
      <x:c r="I11" s="54" t="n">
        <x:f>MIN(E11,H11)*F11</x:f>
        <x:v>0</x:v>
      </x:c>
      <x:c r="J11" s="54" t="n">
        <x:f>MAX(0,G11-I11)</x:f>
        <x:v>0</x:v>
      </x:c>
      <x:c r="K11" s="50" t="str">
        <x:v>A inserir após cotação/doação</x:v>
      </x:c>
      <x:c r="L11" s="50" t="str">
        <x:v>Pendente</x:v>
      </x:c>
    </x:row>
    <x:row r="12">
      <x:c r="A12" s="50" t="str">
        <x:v>Estrutura</x:v>
      </x:c>
      <x:c r="B12" s="50" t="str">
        <x:v>Cobertura resistente / telha ecológica</x:v>
      </x:c>
      <x:c r="C12" s="50" t="str">
        <x:v>un</x:v>
      </x:c>
      <x:c r="D12" s="50" t="n">
        <x:v>1</x:v>
      </x:c>
      <x:c r="E12" s="50" t="n">
        <x:f>D12*$B$5</x:f>
        <x:v>10</x:v>
      </x:c>
      <x:c r="F12" s="53" t="n">
        <x:v>0</x:v>
      </x:c>
      <x:c r="G12" s="54" t="n">
        <x:f>E12*F12</x:f>
        <x:v>0</x:v>
      </x:c>
      <x:c r="H12" s="53" t="n">
        <x:v>0</x:v>
      </x:c>
      <x:c r="I12" s="54" t="n">
        <x:f>MIN(E12,H12)*F12</x:f>
        <x:v>0</x:v>
      </x:c>
      <x:c r="J12" s="54" t="n">
        <x:f>MAX(0,G12-I12)</x:f>
        <x:v>0</x:v>
      </x:c>
      <x:c r="K12" s="50" t="str">
        <x:v>A inserir após cotação/doação</x:v>
      </x:c>
      <x:c r="L12" s="50" t="str">
        <x:v>Pendente</x:v>
      </x:c>
    </x:row>
    <x:row r="13">
      <x:c r="A13" s="50" t="str">
        <x:v>Fixação</x:v>
      </x:c>
      <x:c r="B13" s="50" t="str">
        <x:v>Kit de parafusos para madeira</x:v>
      </x:c>
      <x:c r="C13" s="50" t="str">
        <x:v>kit</x:v>
      </x:c>
      <x:c r="D13" s="50" t="n">
        <x:v>1</x:v>
      </x:c>
      <x:c r="E13" s="50" t="n">
        <x:f>D13*$B$5</x:f>
        <x:v>10</x:v>
      </x:c>
      <x:c r="F13" s="53" t="n">
        <x:v>0</x:v>
      </x:c>
      <x:c r="G13" s="54" t="n">
        <x:f>E13*F13</x:f>
        <x:v>0</x:v>
      </x:c>
      <x:c r="H13" s="53" t="n">
        <x:v>0</x:v>
      </x:c>
      <x:c r="I13" s="54" t="n">
        <x:f>MIN(E13,H13)*F13</x:f>
        <x:v>0</x:v>
      </x:c>
      <x:c r="J13" s="54" t="n">
        <x:f>MAX(0,G13-I13)</x:f>
        <x:v>0</x:v>
      </x:c>
      <x:c r="K13" s="50" t="str">
        <x:v>A inserir após cotação/doação</x:v>
      </x:c>
      <x:c r="L13" s="50" t="str">
        <x:v>Pendente</x:v>
      </x:c>
    </x:row>
    <x:row r="14">
      <x:c r="A14" s="50" t="str">
        <x:v>Estrutura</x:v>
      </x:c>
      <x:c r="B14" s="50" t="str">
        <x:v>Pés para elevação da base</x:v>
      </x:c>
      <x:c r="C14" s="50" t="str">
        <x:v>un</x:v>
      </x:c>
      <x:c r="D14" s="50" t="n">
        <x:v>4</x:v>
      </x:c>
      <x:c r="E14" s="50" t="n">
        <x:f>D14*$B$5</x:f>
        <x:v>40</x:v>
      </x:c>
      <x:c r="F14" s="53" t="n">
        <x:v>0</x:v>
      </x:c>
      <x:c r="G14" s="54" t="n">
        <x:f>E14*F14</x:f>
        <x:v>0</x:v>
      </x:c>
      <x:c r="H14" s="53" t="n">
        <x:v>0</x:v>
      </x:c>
      <x:c r="I14" s="54" t="n">
        <x:f>MIN(E14,H14)*F14</x:f>
        <x:v>0</x:v>
      </x:c>
      <x:c r="J14" s="54" t="n">
        <x:f>MAX(0,G14-I14)</x:f>
        <x:v>0</x:v>
      </x:c>
      <x:c r="K14" s="50" t="str">
        <x:v>A inserir após cotação/doação</x:v>
      </x:c>
      <x:c r="L14" s="50" t="str">
        <x:v>Pendente</x:v>
      </x:c>
    </x:row>
    <x:row r="15">
      <x:c r="A15" s="50" t="str">
        <x:v>Acabamento</x:v>
      </x:c>
      <x:c r="B15" s="50" t="str">
        <x:v>Piso / placa lavável</x:v>
      </x:c>
      <x:c r="C15" s="50" t="str">
        <x:v>un</x:v>
      </x:c>
      <x:c r="D15" s="50" t="n">
        <x:v>1</x:v>
      </x:c>
      <x:c r="E15" s="50" t="n">
        <x:f>D15*$B$5</x:f>
        <x:v>10</x:v>
      </x:c>
      <x:c r="F15" s="53" t="n">
        <x:v>0</x:v>
      </x:c>
      <x:c r="G15" s="54" t="n">
        <x:f>E15*F15</x:f>
        <x:v>0</x:v>
      </x:c>
      <x:c r="H15" s="53" t="n">
        <x:v>0</x:v>
      </x:c>
      <x:c r="I15" s="54" t="n">
        <x:f>MIN(E15,H15)*F15</x:f>
        <x:v>0</x:v>
      </x:c>
      <x:c r="J15" s="54" t="n">
        <x:f>MAX(0,G15-I15)</x:f>
        <x:v>0</x:v>
      </x:c>
      <x:c r="K15" s="50" t="str">
        <x:v>A inserir após cotação/doação</x:v>
      </x:c>
      <x:c r="L15" s="50" t="str">
        <x:v>Pendente</x:v>
      </x:c>
    </x:row>
    <x:row r="16">
      <x:c r="A16" s="50" t="str">
        <x:v>Acabamento</x:v>
      </x:c>
      <x:c r="B16" s="50" t="str">
        <x:v>Proteção / impermeabilização</x:v>
      </x:c>
      <x:c r="C16" s="50" t="str">
        <x:v>kit</x:v>
      </x:c>
      <x:c r="D16" s="50" t="n">
        <x:v>1</x:v>
      </x:c>
      <x:c r="E16" s="50" t="n">
        <x:f>D16*$B$5</x:f>
        <x:v>10</x:v>
      </x:c>
      <x:c r="F16" s="53" t="n">
        <x:v>0</x:v>
      </x:c>
      <x:c r="G16" s="54" t="n">
        <x:f>E16*F16</x:f>
        <x:v>0</x:v>
      </x:c>
      <x:c r="H16" s="53" t="n">
        <x:v>0</x:v>
      </x:c>
      <x:c r="I16" s="54" t="n">
        <x:f>MIN(E16,H16)*F16</x:f>
        <x:v>0</x:v>
      </x:c>
      <x:c r="J16" s="54" t="n">
        <x:f>MAX(0,G16-I16)</x:f>
        <x:v>0</x:v>
      </x:c>
      <x:c r="K16" s="50" t="str">
        <x:v>A inserir após cotação/doação</x:v>
      </x:c>
      <x:c r="L16" s="50" t="str">
        <x:v>Pendente</x:v>
      </x:c>
    </x:row>
    <x:row r="17">
      <x:c r="A17" s="50" t="str">
        <x:v>Identificação</x:v>
      </x:c>
      <x:c r="B17" s="50" t="str">
        <x:v>Placa / QR do ponto</x:v>
      </x:c>
      <x:c r="C17" s="50" t="str">
        <x:v>un</x:v>
      </x:c>
      <x:c r="D17" s="50" t="n">
        <x:v>1</x:v>
      </x:c>
      <x:c r="E17" s="50" t="n">
        <x:f>D17*$B$5</x:f>
        <x:v>10</x:v>
      </x:c>
      <x:c r="F17" s="53" t="n">
        <x:v>0</x:v>
      </x:c>
      <x:c r="G17" s="54" t="n">
        <x:f>E17*F17</x:f>
        <x:v>0</x:v>
      </x:c>
      <x:c r="H17" s="53" t="n">
        <x:v>0</x:v>
      </x:c>
      <x:c r="I17" s="54" t="n">
        <x:f>MIN(E17,H17)*F17</x:f>
        <x:v>0</x:v>
      </x:c>
      <x:c r="J17" s="54" t="n">
        <x:f>MAX(0,G17-I17)</x:f>
        <x:v>0</x:v>
      </x:c>
      <x:c r="K17" s="50" t="str">
        <x:v>A inserir após cotação/doação</x:v>
      </x:c>
      <x:c r="L17" s="50" t="str">
        <x:v>Pendente</x:v>
      </x:c>
    </x:row>
    <x:row r="18">
      <x:c r="A18" s="50" t="str">
        <x:v>Logística</x:v>
      </x:c>
      <x:c r="B18" s="50" t="str">
        <x:v>Transporte / deslocamento</x:v>
      </x:c>
      <x:c r="C18" s="50" t="str">
        <x:v>serviço</x:v>
      </x:c>
      <x:c r="D18" s="50" t="n">
        <x:v>1</x:v>
      </x:c>
      <x:c r="E18" s="50" t="n">
        <x:f>D18*$B$5</x:f>
        <x:v>10</x:v>
      </x:c>
      <x:c r="F18" s="53" t="n">
        <x:v>0</x:v>
      </x:c>
      <x:c r="G18" s="54" t="n">
        <x:f>E18*F18</x:f>
        <x:v>0</x:v>
      </x:c>
      <x:c r="H18" s="53" t="n">
        <x:v>0</x:v>
      </x:c>
      <x:c r="I18" s="54" t="n">
        <x:f>MIN(E18,H18)*F18</x:f>
        <x:v>0</x:v>
      </x:c>
      <x:c r="J18" s="54" t="n">
        <x:f>MAX(0,G18-I18)</x:f>
        <x:v>0</x:v>
      </x:c>
      <x:c r="K18" s="50" t="str">
        <x:v>A inserir após cotação</x:v>
      </x:c>
      <x:c r="L18" s="50" t="str">
        <x:v>Pendente</x:v>
      </x:c>
    </x:row>
    <x:row r="19">
      <x:c r="A19" s="50" t="str">
        <x:v>Ferramentas</x:v>
      </x:c>
      <x:c r="B19" s="50" t="str">
        <x:v>Ferramentas / EPI consumíveis</x:v>
      </x:c>
      <x:c r="C19" s="50" t="str">
        <x:v>kit</x:v>
      </x:c>
      <x:c r="D19" s="50" t="n">
        <x:v>1</x:v>
      </x:c>
      <x:c r="E19" s="50" t="n">
        <x:f>D19*$B$5</x:f>
        <x:v>10</x:v>
      </x:c>
      <x:c r="F19" s="53" t="n">
        <x:v>0</x:v>
      </x:c>
      <x:c r="G19" s="54" t="n">
        <x:f>E19*F19</x:f>
        <x:v>0</x:v>
      </x:c>
      <x:c r="H19" s="53" t="n">
        <x:v>0</x:v>
      </x:c>
      <x:c r="I19" s="54" t="n">
        <x:f>MIN(E19,H19)*F19</x:f>
        <x:v>0</x:v>
      </x:c>
      <x:c r="J19" s="54" t="n">
        <x:f>MAX(0,G19-I19)</x:f>
        <x:v>0</x:v>
      </x:c>
      <x:c r="K19" s="50" t="str">
        <x:v>A inserir após cotação</x:v>
      </x:c>
      <x:c r="L19" s="50" t="str">
        <x:v>Pendente</x:v>
      </x:c>
    </x:row>
    <x:row r="20">
      <x:c r="A20" s="50" t="str">
        <x:v>Manutenção</x:v>
      </x:c>
      <x:c r="B20" s="50" t="str">
        <x:v>Reserva inicial de manutenção</x:v>
      </x:c>
      <x:c r="C20" s="50" t="str">
        <x:v>verba</x:v>
      </x:c>
      <x:c r="D20" s="50" t="n">
        <x:v>1</x:v>
      </x:c>
      <x:c r="E20" s="50" t="n">
        <x:f>D20*$B$5</x:f>
        <x:v>10</x:v>
      </x:c>
      <x:c r="F20" s="53" t="n">
        <x:v>0</x:v>
      </x:c>
      <x:c r="G20" s="54" t="n">
        <x:f>E20*F20</x:f>
        <x:v>0</x:v>
      </x:c>
      <x:c r="H20" s="53" t="n">
        <x:v>0</x:v>
      </x:c>
      <x:c r="I20" s="54" t="n">
        <x:f>MIN(E20,H20)*F20</x:f>
        <x:v>0</x:v>
      </x:c>
      <x:c r="J20" s="54" t="n">
        <x:f>MAX(0,G20-I20)</x:f>
        <x:v>0</x:v>
      </x:c>
      <x:c r="K20" s="50" t="str">
        <x:v>A definir após piloto</x:v>
      </x:c>
      <x:c r="L20" s="50" t="str">
        <x:v>Pendente</x:v>
      </x:c>
    </x:row>
    <x:row r="21">
      <x:c r="A21" s="55" t="str">
        <x:v>Subtotal validado</x:v>
      </x:c>
      <x:c r="B21" s="55"/>
      <x:c r="C21" s="55"/>
      <x:c r="D21" s="55"/>
      <x:c r="E21" s="55"/>
      <x:c r="F21" s="56"/>
      <x:c r="G21" s="56" t="n">
        <x:f>SUM(G11:G20)</x:f>
        <x:v>0</x:v>
      </x:c>
      <x:c r="H21" s="56" t="str"/>
      <x:c r="I21" s="56" t="n">
        <x:f>SUM(I11:I20)</x:f>
        <x:v>0</x:v>
      </x:c>
      <x:c r="J21" s="56" t="n">
        <x:f>SUM(J11:J20)</x:f>
        <x:v>0</x:v>
      </x:c>
      <x:c r="K21" s="55" t="str">
        <x:v>Somente itens com valores documentados</x:v>
      </x:c>
      <x:c r="L21" s="55"/>
    </x:row>
    <x:row r="22">
      <x:c r="A22" s="55" t="str">
        <x:v>Reserva de contingência</x:v>
      </x:c>
      <x:c r="B22" s="55"/>
      <x:c r="C22" s="55"/>
      <x:c r="D22" s="55"/>
      <x:c r="E22" s="55"/>
      <x:c r="F22" s="56"/>
      <x:c r="G22" s="56"/>
      <x:c r="H22" s="56"/>
      <x:c r="I22" s="56"/>
      <x:c r="J22" s="56" t="n">
        <x:f>J21*$B$7</x:f>
        <x:v>0</x:v>
      </x:c>
      <x:c r="K22" s="55" t="str">
        <x:v>Percentual editável em B7</x:v>
      </x:c>
      <x:c r="L22" s="55"/>
    </x:row>
    <x:row r="23">
      <x:c r="A23" s="57" t="str">
        <x:v>Necessidade financeira líquida do piloto</x:v>
      </x:c>
      <x:c r="B23" s="57"/>
      <x:c r="C23" s="57"/>
      <x:c r="D23" s="57"/>
      <x:c r="E23" s="57"/>
      <x:c r="F23" s="58"/>
      <x:c r="G23" s="58"/>
      <x:c r="H23" s="58"/>
      <x:c r="I23" s="58"/>
      <x:c r="J23" s="58" t="n">
        <x:f>J21+J22</x:f>
        <x:v>0</x:v>
      </x:c>
      <x:c r="K23" s="57" t="str">
        <x:v>Resultado do modelo, não valor já gasto</x:v>
      </x:c>
      <x:c r="L23" s="57"/>
    </x:row>
    <x:row r="24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</x:row>
    <x:row r="25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</x:row>
    <x:row r="26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</x:row>
    <x:row r="27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</x:row>
    <x:row r="28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</x:row>
    <x:row r="29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</x:row>
    <x:row r="32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</x:row>
    <x:row r="33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</x:row>
    <x:row r="34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</x:row>
    <x:row r="35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</x:row>
    <x:row r="36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</x:row>
    <x:row r="37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</x:row>
    <x:row r="40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</x:row>
  </x:sheetData>
  <x:mergeCells>
    <x:mergeCell ref="A1:L1"/>
    <x:mergeCell ref="A2:L2"/>
    <x:mergeCell ref="A21:F21"/>
    <x:mergeCell ref="K21:L21"/>
    <x:mergeCell ref="A22:I22"/>
    <x:mergeCell ref="K22:L22"/>
    <x:mergeCell ref="A23:I23"/>
    <x:mergeCell ref="K23:L23"/>
  </x:mergeCells>
  <x:conditionalFormatting sqref="L11:L20">
    <x:cfRule type="expression" dxfId="0" priority="1">
      <x:formula>L11="Validado"</x:formula>
    </x:cfRule>
    <x:cfRule type="expression" dxfId="1" priority="2">
      <x:formula>L11="Pendente"</x:formula>
    </x:cfRule>
  </x:conditionalFormatting>
  <x:dataValidations count="1">
    <x:dataValidation type="list" sqref="L11:L20">
      <x:formula1>"Pendente,Cotado,Validado,Doado confirmado,Utilizado"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3d34a5fb054a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24" hidden="0" customWidth="1"/>
  </x:cols>
  <x:sheetData>
    <x:row r="1">
      <x:c r="A1" s="48" t="str">
        <x:v>Cenários hipotéticos de cobertura por doações</x:v>
      </x:c>
      <x:c r="B1" s="48"/>
      <x:c r="C1" s="48"/>
      <x:c r="D1" s="48"/>
    </x:row>
    <x:row r="2">
      <x:c r="A2" s="12" t="str">
        <x:v>Análise de sensibilidade; não representa doações prometidas ou recebidas.</x:v>
      </x:c>
      <x:c r="B2" s="12"/>
      <x:c r="C2" s="12"/>
      <x:c r="D2" s="12"/>
    </x:row>
    <x:row r="4">
      <x:c r="A4" s="20" t="str">
        <x:v>Cenário</x:v>
      </x:c>
      <x:c r="B4" s="20" t="str">
        <x:v>Cobertura por doações</x:v>
      </x:c>
      <x:c r="C4" s="20" t="str">
        <x:v>Custo bruto validado (R$)</x:v>
      </x:c>
      <x:c r="D4" s="20" t="str">
        <x:v>Necessidade de caixa (R$)</x:v>
      </x:c>
    </x:row>
    <x:row r="5">
      <x:c r="A5" t="str">
        <x:v>Sem doações</x:v>
      </x:c>
      <x:c r="B5" s="70" t="n">
        <x:v>0</x:v>
      </x:c>
      <x:c r="C5" s="39" t="n">
        <x:f>'Orçamento'!G21</x:f>
        <x:v>0</x:v>
      </x:c>
      <x:c r="D5" s="39" t="n">
        <x:f>MAX(0,C5*(1-B5))</x:f>
        <x:v>0</x:v>
      </x:c>
    </x:row>
    <x:row r="6">
      <x:c r="A6" t="str">
        <x:v>25% coberto</x:v>
      </x:c>
      <x:c r="B6" s="70" t="n">
        <x:v>0.25</x:v>
      </x:c>
      <x:c r="C6" s="39" t="n">
        <x:f>'Orçamento'!G21</x:f>
        <x:v>0</x:v>
      </x:c>
      <x:c r="D6" s="39" t="n">
        <x:f>MAX(0,C6*(1-B6))</x:f>
        <x:v>0</x:v>
      </x:c>
    </x:row>
    <x:row r="7">
      <x:c r="A7" t="str">
        <x:v>50% coberto</x:v>
      </x:c>
      <x:c r="B7" s="70" t="n">
        <x:v>0.5</x:v>
      </x:c>
      <x:c r="C7" s="39" t="n">
        <x:f>'Orçamento'!G21</x:f>
        <x:v>0</x:v>
      </x:c>
      <x:c r="D7" s="39" t="n">
        <x:f>MAX(0,C7*(1-B7))</x:f>
        <x:v>0</x:v>
      </x:c>
    </x:row>
    <x:row r="8">
      <x:c r="A8" t="str">
        <x:v>75% coberto</x:v>
      </x:c>
      <x:c r="B8" s="70" t="n">
        <x:v>0.75</x:v>
      </x:c>
      <x:c r="C8" s="39" t="n">
        <x:f>'Orçamento'!G21</x:f>
        <x:v>0</x:v>
      </x:c>
      <x:c r="D8" s="39" t="n">
        <x:f>MAX(0,C8*(1-B8))</x:f>
        <x:v>0</x:v>
      </x:c>
    </x:row>
    <x:row r="9">
      <x:c r="A9" t="str">
        <x:v>100% coberto</x:v>
      </x:c>
      <x:c r="B9" s="70" t="n">
        <x:v>1</x:v>
      </x:c>
      <x:c r="C9" s="39" t="n">
        <x:f>'Orçamento'!G21</x:f>
        <x:v>0</x:v>
      </x:c>
      <x:c r="D9" s="39" t="n">
        <x:f>MAX(0,C9*(1-B9))</x:f>
        <x:v>0</x:v>
      </x:c>
    </x:row>
    <x:row r="11">
      <x:c r="A11" t="str">
        <x:v>O cenário só ganha significado quando custos forem validados com cotação/comprovante.</x:v>
      </x:c>
    </x:row>
  </x:sheetData>
  <x:mergeCells>
    <x:mergeCell ref="A1:D1"/>
    <x:mergeCell ref="A2:D2"/>
    <x:mergeCell ref="A11:D11"/>
  </x:mergeCells>
  <x:pageMargins left="0.7" right="0.7" top="0.75" bottom="0.75" header="0.3" footer="0.3"/>
  <x:drawing xmlns:r="http://schemas.openxmlformats.org/officeDocument/2006/relationships" r:id="R46048ef880194d3f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32" hidden="0" customWidth="1"/>
    <x:col min="5" max="5" width="32" hidden="0" customWidth="1"/>
    <x:col min="6" max="6" width="14" hidden="0" customWidth="1"/>
  </x:cols>
  <x:sheetData>
    <x:row r="1">
      <x:c r="A1" s="48" t="str">
        <x:v>Indicadores - linha de base do piloto</x:v>
      </x:c>
      <x:c r="B1" s="48"/>
      <x:c r="C1" s="48"/>
      <x:c r="D1" s="48"/>
      <x:c r="E1" s="48"/>
      <x:c r="F1" s="48"/>
    </x:row>
    <x:row r="2">
      <x:c r="A2" s="12" t="str">
        <x:v>Somente dados reais devem alimentar esta folha; o estado atual inicia em zero onde ainda não há evidência de campo.</x:v>
      </x:c>
      <x:c r="B2" s="12"/>
      <x:c r="C2" s="12"/>
      <x:c r="D2" s="12"/>
      <x:c r="E2" s="12"/>
      <x:c r="F2" s="12"/>
    </x:row>
    <x:row r="4">
      <x:c r="A4" s="20" t="str">
        <x:v>Indicador</x:v>
      </x:c>
      <x:c r="B4" s="20" t="str">
        <x:v>Valor real atual</x:v>
      </x:c>
      <x:c r="C4" s="20" t="str">
        <x:v>Unidade</x:v>
      </x:c>
      <x:c r="D4" s="20" t="str">
        <x:v>Regra de evidência</x:v>
      </x:c>
      <x:c r="E4" s="20" t="str">
        <x:v>Fonte da linha de base</x:v>
      </x:c>
      <x:c r="F4" s="20" t="str">
        <x:v>Data-base</x:v>
      </x:c>
    </x:row>
    <x:row r="5">
      <x:c r="A5" t="str">
        <x:v>Casinhas instaladas</x:v>
      </x:c>
      <x:c r="B5" s="72" t="n">
        <x:v>0</x:v>
      </x:c>
      <x:c r="C5" t="str">
        <x:v>un</x:v>
      </x:c>
      <x:c r="D5" t="str">
        <x:v>Foto/registro + local autorizado</x:v>
      </x:c>
      <x:c r="E5" t="str">
        <x:v>Situação informada pela responsável do projeto</x:v>
      </x:c>
      <x:c r="F5" t="str">
        <x:v>21/09/2026</x:v>
      </x:c>
    </x:row>
    <x:row r="6">
      <x:c r="A6" t="str">
        <x:v>Casinhas autorizadas</x:v>
      </x:c>
      <x:c r="B6" s="72" t="n">
        <x:v>0</x:v>
      </x:c>
      <x:c r="C6" t="str">
        <x:v>un</x:v>
      </x:c>
      <x:c r="D6" t="str">
        <x:v>Autorização documentada</x:v>
      </x:c>
      <x:c r="E6" t="str">
        <x:v>Situação informada pela responsável do projeto</x:v>
      </x:c>
      <x:c r="F6" t="str">
        <x:v>21/09/2026</x:v>
      </x:c>
    </x:row>
    <x:row r="7">
      <x:c r="A7" t="str">
        <x:v>Casinhas construídas</x:v>
      </x:c>
      <x:c r="B7" s="72" t="n">
        <x:v>0</x:v>
      </x:c>
      <x:c r="C7" t="str">
        <x:v>un</x:v>
      </x:c>
      <x:c r="D7" t="str">
        <x:v>Registro de conclusão física</x:v>
      </x:c>
      <x:c r="E7" t="str">
        <x:v>Situação informada pela responsável do projeto</x:v>
      </x:c>
      <x:c r="F7" t="str">
        <x:v>21/09/2026</x:v>
      </x:c>
    </x:row>
    <x:row r="8">
      <x:c r="A8" t="str">
        <x:v>Pontos comunitários validados</x:v>
      </x:c>
      <x:c r="B8" s="72" t="n">
        <x:v>0</x:v>
      </x:c>
      <x:c r="C8" t="str">
        <x:v>pontos</x:v>
      </x:c>
      <x:c r="D8" t="str">
        <x:v>Verificação de campo</x:v>
      </x:c>
      <x:c r="E8" t="str">
        <x:v>Sem validação de campo registrada nesta revisão</x:v>
      </x:c>
      <x:c r="F8" t="str">
        <x:v>21/09/2026</x:v>
      </x:c>
    </x:row>
    <x:row r="9">
      <x:c r="A9" t="str">
        <x:v>Voluntários ativos validados</x:v>
      </x:c>
      <x:c r="B9" s="72" t="n">
        <x:v>0</x:v>
      </x:c>
      <x:c r="C9" t="str">
        <x:v>pessoas</x:v>
      </x:c>
      <x:c r="D9" t="str">
        <x:v>Participação consentida e registrada</x:v>
      </x:c>
      <x:c r="E9" t="str">
        <x:v>Sem validação de campo registrada nesta revisão</x:v>
      </x:c>
      <x:c r="F9" t="str">
        <x:v>21/09/2026</x:v>
      </x:c>
    </x:row>
    <x:row r="10">
      <x:c r="A10" t="str">
        <x:v>Doações materiais confirmadas</x:v>
      </x:c>
      <x:c r="B10" s="72" t="n">
        <x:v>0</x:v>
      </x:c>
      <x:c r="C10" t="str">
        <x:v>registros</x:v>
      </x:c>
      <x:c r="D10" t="str">
        <x:v>Recebimento conferido</x:v>
      </x:c>
      <x:c r="E10" t="str">
        <x:v>Sem recebimento comprovado nesta revisão</x:v>
      </x:c>
      <x:c r="F10" t="str">
        <x:v>21/09/2026</x:v>
      </x:c>
    </x:row>
    <x:row r="11">
      <x:c r="A11" t="str">
        <x:v>Ocorrências resolvidas</x:v>
      </x:c>
      <x:c r="B11" s="72" t="n">
        <x:v>0</x:v>
      </x:c>
      <x:c r="C11" t="str">
        <x:v>ocorrências</x:v>
      </x:c>
      <x:c r="D11" t="str">
        <x:v>Registro de encerramento</x:v>
      </x:c>
      <x:c r="E11" t="str">
        <x:v>Sem operação real registrada nesta revisão</x:v>
      </x:c>
      <x:c r="F11" t="str">
        <x:v>21/09/2026</x:v>
      </x:c>
    </x:row>
    <x:row r="12">
      <x:c r="A12" t="str">
        <x:v>Custo real acumulado</x:v>
      </x:c>
      <x:c r="B12" s="39" t="n">
        <x:v>0</x:v>
      </x:c>
      <x:c r="C12" t="str">
        <x:v>R$</x:v>
      </x:c>
      <x:c r="D12" t="str">
        <x:v>Comprovantes/cotações efetivadas</x:v>
      </x:c>
      <x:c r="E12" t="str">
        <x:v>Sem gastos comprovados incluídos nesta revisão</x:v>
      </x:c>
      <x:c r="F12" t="str">
        <x:v>21/09/2026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6f1b0c0b0894d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48" t="str">
        <x:v>Regras de uso da planilha</x:v>
      </x:c>
      <x:c r="B1" s="48"/>
    </x:row>
    <x:row r="3">
      <x:c r="A3" s="20" t="str">
        <x:v>Regra</x:v>
      </x:c>
      <x:c r="B3" s="20" t="str">
        <x:v>Aplicação</x:v>
      </x:c>
    </x:row>
    <x:row r="4">
      <x:c r="A4" t="str">
        <x:v>Planejamento ≠ execução</x:v>
      </x:c>
      <x:c r="B4" t="str">
        <x:v>Não lançar como instalada uma casinha apenas planejada.</x:v>
      </x:c>
    </x:row>
    <x:row r="5">
      <x:c r="A5" t="str">
        <x:v>Cotação ≠ gasto</x:v>
      </x:c>
      <x:c r="B5" t="str">
        <x:v>Custo unitário só deve ser validado com cotação/documento datado.</x:v>
      </x:c>
    </x:row>
    <x:row r="6">
      <x:c r="A6" t="str">
        <x:v>Promessa ≠ doação recebida</x:v>
      </x:c>
      <x:c r="B6" t="str">
        <x:v>Doação só reduz custo líquido quando houver recebimento confirmado.</x:v>
      </x:c>
    </x:row>
    <x:row r="7">
      <x:c r="A7" t="str">
        <x:v>Dado demonstrativo ≠ indicador real</x:v>
      </x:c>
      <x:c r="B7" t="str">
        <x:v>Simulações não alimentam a folha Indicadores.</x:v>
      </x:c>
    </x:row>
    <x:row r="8">
      <x:c r="A8" t="str">
        <x:v>Dinheiro</x:v>
      </x:c>
      <x:c r="B8" t="str">
        <x:v>Qualquer arrecadação futura deve usar canal autorizado e prestação de contas.</x:v>
      </x:c>
    </x:row>
    <x:row r="9">
      <x:c r="A9" t="str">
        <x:v>Escopo</x:v>
      </x:c>
      <x:c r="B9" t="str">
        <x:v>Meta de até 10 casinhas; expansão depende de avaliação do piloto.</x:v>
      </x:c>
    </x:row>
    <x:row r="10">
      <x:c r="A10" t="str">
        <x:v>Atualização</x:v>
      </x:c>
      <x:c r="B10" t="str">
        <x:v>Registrar data e fonte de cada valor real incluído.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d88a7a5f54d4616"/>
  </x:tableParts>
</x:worksheet>
</file>